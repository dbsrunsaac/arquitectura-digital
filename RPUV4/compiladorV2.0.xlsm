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NSAAC\SEMESTRE VIII\ARQUITECTURA DE MICROPROCESADORES\arquitectura-digital\RPUV4\"/>
    </mc:Choice>
  </mc:AlternateContent>
  <xr:revisionPtr revIDLastSave="0" documentId="13_ncr:1_{F2B92DEA-3027-414D-A8DA-D8FEA5CA5ABD}" xr6:coauthVersionLast="47" xr6:coauthVersionMax="47" xr10:uidLastSave="{00000000-0000-0000-0000-000000000000}"/>
  <bookViews>
    <workbookView xWindow="810" yWindow="-120" windowWidth="28110" windowHeight="16440" xr2:uid="{27F46C5E-E7E8-4055-B0B9-BD03E1276615}"/>
  </bookViews>
  <sheets>
    <sheet name="Hoja1" sheetId="1" r:id="rId1"/>
    <sheet name="Hoja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5" i="1" l="1"/>
  <c r="F26" i="1"/>
  <c r="F27" i="1"/>
  <c r="F28" i="1"/>
  <c r="F29" i="1"/>
  <c r="C44" i="1"/>
  <c r="C45" i="1"/>
  <c r="C46" i="1"/>
  <c r="C47" i="1"/>
  <c r="C48" i="1"/>
  <c r="C49" i="1"/>
  <c r="C50" i="1"/>
  <c r="C51" i="1"/>
  <c r="C52" i="1"/>
  <c r="C53" i="1"/>
  <c r="C54" i="1"/>
  <c r="C55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12" i="1"/>
  <c r="C5" i="1"/>
  <c r="E5" i="1" l="1"/>
  <c r="F5" i="1" s="1"/>
  <c r="E54" i="1"/>
  <c r="E55" i="1"/>
  <c r="C6" i="1"/>
  <c r="E6" i="1" s="1"/>
  <c r="F6" i="1" s="1"/>
  <c r="C7" i="1"/>
  <c r="E7" i="1" s="1"/>
  <c r="F7" i="1" s="1"/>
  <c r="C8" i="1"/>
  <c r="E8" i="1" s="1"/>
  <c r="F8" i="1" s="1"/>
  <c r="C9" i="1"/>
  <c r="E9" i="1" s="1"/>
  <c r="F9" i="1" s="1"/>
  <c r="C10" i="1"/>
  <c r="E10" i="1" s="1"/>
  <c r="F10" i="1" s="1"/>
  <c r="C11" i="1"/>
  <c r="E11" i="1" s="1"/>
  <c r="F11" i="1" s="1"/>
  <c r="E12" i="1"/>
  <c r="F12" i="1" s="1"/>
  <c r="E13" i="1"/>
  <c r="F13" i="1" s="1"/>
  <c r="E16" i="1"/>
  <c r="F16" i="1" s="1"/>
  <c r="E17" i="1"/>
  <c r="F17" i="1" s="1"/>
  <c r="E18" i="1"/>
  <c r="F18" i="1" s="1"/>
  <c r="E21" i="1"/>
  <c r="F21" i="1" s="1"/>
  <c r="E24" i="1"/>
  <c r="F24" i="1" s="1"/>
  <c r="E25" i="1"/>
  <c r="E26" i="1"/>
  <c r="E27" i="1"/>
  <c r="E29" i="1"/>
  <c r="E31" i="1"/>
  <c r="E32" i="1"/>
  <c r="E33" i="1"/>
  <c r="E34" i="1"/>
  <c r="E37" i="1"/>
  <c r="E38" i="1"/>
  <c r="E39" i="1"/>
  <c r="E40" i="1"/>
  <c r="E41" i="1"/>
  <c r="E42" i="1"/>
  <c r="E43" i="1"/>
  <c r="E45" i="1"/>
  <c r="E48" i="1"/>
  <c r="E49" i="1"/>
  <c r="E50" i="1"/>
  <c r="E51" i="1"/>
  <c r="E53" i="1"/>
  <c r="E20" i="1"/>
  <c r="F20" i="1" s="1"/>
  <c r="E19" i="1"/>
  <c r="F19" i="1" s="1"/>
  <c r="E35" i="1"/>
  <c r="E44" i="1"/>
  <c r="E52" i="1"/>
  <c r="E14" i="1"/>
  <c r="F14" i="1" s="1"/>
  <c r="E22" i="1"/>
  <c r="F22" i="1" s="1"/>
  <c r="E30" i="1"/>
  <c r="E36" i="1"/>
  <c r="E46" i="1"/>
  <c r="E47" i="1"/>
  <c r="E15" i="1"/>
  <c r="F15" i="1" s="1"/>
  <c r="E28" i="1"/>
  <c r="E23" i="1"/>
  <c r="F23" i="1" s="1"/>
  <c r="A6" i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</calcChain>
</file>

<file path=xl/sharedStrings.xml><?xml version="1.0" encoding="utf-8"?>
<sst xmlns="http://schemas.openxmlformats.org/spreadsheetml/2006/main" count="86" uniqueCount="40">
  <si>
    <t>DIRECCION</t>
  </si>
  <si>
    <t>Código</t>
  </si>
  <si>
    <t>DATO/INST</t>
  </si>
  <si>
    <t>Memoria</t>
  </si>
  <si>
    <t>Nombre del Programa</t>
  </si>
  <si>
    <t>Nop</t>
  </si>
  <si>
    <t>Load</t>
  </si>
  <si>
    <t>MovR</t>
  </si>
  <si>
    <t>Jump</t>
  </si>
  <si>
    <t>INSTRUCCIONES</t>
  </si>
  <si>
    <t>MEMORIA</t>
  </si>
  <si>
    <t>Descripcion</t>
  </si>
  <si>
    <t>Mnemónico</t>
  </si>
  <si>
    <t>Dato</t>
  </si>
  <si>
    <t>No Hacer nada</t>
  </si>
  <si>
    <t>0000</t>
  </si>
  <si>
    <t>----</t>
  </si>
  <si>
    <t>Cargar Dato</t>
  </si>
  <si>
    <t>0001</t>
  </si>
  <si>
    <t>D</t>
  </si>
  <si>
    <t>Cargar Dirección</t>
  </si>
  <si>
    <t>0010</t>
  </si>
  <si>
    <t>Desplazar a la Der.</t>
  </si>
  <si>
    <t>0011</t>
  </si>
  <si>
    <t>Desplazar a la Izq.</t>
  </si>
  <si>
    <t>MovL</t>
  </si>
  <si>
    <t>0100</t>
  </si>
  <si>
    <t>Fin del Progrma</t>
  </si>
  <si>
    <t>End</t>
  </si>
  <si>
    <t>PROGRAMA</t>
  </si>
  <si>
    <t>CÓDIGO</t>
  </si>
  <si>
    <t>1111</t>
  </si>
  <si>
    <t>Dirección de memoría a la cual se saltará</t>
  </si>
  <si>
    <t>Cargar Reinicio</t>
  </si>
  <si>
    <t>LoadZ</t>
  </si>
  <si>
    <t>0101</t>
  </si>
  <si>
    <t>Prog3.bin</t>
  </si>
  <si>
    <t>DEC</t>
  </si>
  <si>
    <t>Compilador RPU V2.0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</si>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</sst>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" fillId="4" borderId="4" xfId="0" applyFont="1" applyFill="1" applyBorder="1" applyAlignment="1">
      <alignment horizontal="center"/>
    </xf>
    <xf numFmtId="0" fontId="1" fillId="5" borderId="6" xfId="0" applyFont="1" applyFill="1" applyBorder="1"/>
    <xf numFmtId="0" fontId="1" fillId="5" borderId="7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 vertical="center"/>
    </xf>
    <xf numFmtId="0" fontId="1" fillId="5" borderId="9" xfId="0" applyFont="1" applyFill="1" applyBorder="1" applyAlignment="1">
      <alignment horizontal="center" vertical="center"/>
    </xf>
    <xf numFmtId="0" fontId="0" fillId="5" borderId="10" xfId="0" applyFill="1" applyBorder="1"/>
    <xf numFmtId="0" fontId="0" fillId="5" borderId="4" xfId="0" applyFill="1" applyBorder="1"/>
    <xf numFmtId="0" fontId="0" fillId="5" borderId="11" xfId="0" quotePrefix="1" applyFill="1" applyBorder="1" applyAlignment="1">
      <alignment horizontal="center" vertical="center"/>
    </xf>
    <xf numFmtId="0" fontId="0" fillId="5" borderId="12" xfId="0" quotePrefix="1" applyFill="1" applyBorder="1" applyAlignment="1">
      <alignment horizontal="center" vertical="center"/>
    </xf>
    <xf numFmtId="0" fontId="0" fillId="5" borderId="12" xfId="0" applyFill="1" applyBorder="1" applyAlignment="1">
      <alignment horizontal="center" vertical="center"/>
    </xf>
    <xf numFmtId="0" fontId="0" fillId="5" borderId="13" xfId="0" applyFill="1" applyBorder="1"/>
    <xf numFmtId="0" fontId="0" fillId="5" borderId="11" xfId="0" applyFill="1" applyBorder="1"/>
    <xf numFmtId="0" fontId="0" fillId="5" borderId="14" xfId="0" applyFill="1" applyBorder="1"/>
    <xf numFmtId="0" fontId="0" fillId="5" borderId="15" xfId="0" applyFill="1" applyBorder="1"/>
    <xf numFmtId="0" fontId="0" fillId="5" borderId="17" xfId="0" quotePrefix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49" fontId="0" fillId="0" borderId="4" xfId="0" applyNumberFormat="1" applyBorder="1" applyAlignment="1">
      <alignment horizontal="left"/>
    </xf>
    <xf numFmtId="0" fontId="0" fillId="0" borderId="4" xfId="0" applyBorder="1" applyAlignment="1">
      <alignment horizontal="left"/>
    </xf>
    <xf numFmtId="0" fontId="0" fillId="5" borderId="16" xfId="0" quotePrefix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2" fillId="2" borderId="0" xfId="0" applyFont="1" applyFill="1" applyAlignment="1">
      <alignment horizontal="center" vertical="center"/>
    </xf>
    <xf numFmtId="0" fontId="2" fillId="2" borderId="18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5</xdr:row>
          <xdr:rowOff>104775</xdr:rowOff>
        </xdr:from>
        <xdr:to>
          <xdr:col>7</xdr:col>
          <xdr:colOff>66675</xdr:colOff>
          <xdr:row>8</xdr:row>
          <xdr:rowOff>85725</xdr:rowOff>
        </xdr:to>
        <xdr:sp macro="" textlink="">
          <xdr:nvSpPr>
            <xdr:cNvPr id="1034" name="btnGuardar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A5EAB-4433-4532-990F-84F6E9E8D41A}">
  <sheetPr codeName="Hoja1"/>
  <dimension ref="A1:N55"/>
  <sheetViews>
    <sheetView tabSelected="1" workbookViewId="0">
      <selection activeCell="G12" sqref="G12"/>
    </sheetView>
  </sheetViews>
  <sheetFormatPr baseColWidth="10" defaultRowHeight="15" x14ac:dyDescent="0.25"/>
  <cols>
    <col min="1" max="1" width="11.5703125" style="1"/>
    <col min="2" max="3" width="11.5703125" style="18"/>
    <col min="4" max="5" width="11.5703125" style="1"/>
    <col min="6" max="6" width="5.7109375" customWidth="1"/>
    <col min="7" max="7" width="20" customWidth="1"/>
    <col min="9" max="9" width="20.140625" customWidth="1"/>
    <col min="12" max="12" width="10.28515625" customWidth="1"/>
  </cols>
  <sheetData>
    <row r="1" spans="1:14" ht="18.600000000000001" customHeight="1" x14ac:dyDescent="0.25">
      <c r="A1" s="28" t="s">
        <v>38</v>
      </c>
      <c r="B1" s="28"/>
      <c r="C1" s="28"/>
      <c r="D1" s="28"/>
      <c r="E1" s="28"/>
      <c r="F1" s="28"/>
      <c r="G1" s="28"/>
    </row>
    <row r="2" spans="1:14" ht="15.75" thickBot="1" x14ac:dyDescent="0.3">
      <c r="A2" s="29"/>
      <c r="B2" s="29"/>
      <c r="C2" s="29"/>
      <c r="D2" s="29"/>
      <c r="E2" s="29"/>
      <c r="F2" s="29"/>
      <c r="G2" s="29"/>
    </row>
    <row r="3" spans="1:14" ht="15.75" thickBot="1" x14ac:dyDescent="0.3">
      <c r="B3" s="19"/>
      <c r="C3" s="19"/>
      <c r="F3" s="1"/>
      <c r="G3" s="1"/>
    </row>
    <row r="4" spans="1:14" ht="15.75" thickBot="1" x14ac:dyDescent="0.3">
      <c r="A4" s="23" t="s">
        <v>0</v>
      </c>
      <c r="B4" s="23" t="s">
        <v>29</v>
      </c>
      <c r="C4" s="23" t="s">
        <v>30</v>
      </c>
      <c r="D4" s="23" t="s">
        <v>2</v>
      </c>
      <c r="E4" s="23" t="s">
        <v>3</v>
      </c>
      <c r="F4" s="23" t="s">
        <v>37</v>
      </c>
      <c r="G4" s="24" t="s">
        <v>4</v>
      </c>
    </row>
    <row r="5" spans="1:14" ht="15.75" thickBot="1" x14ac:dyDescent="0.3">
      <c r="A5" s="2">
        <v>0</v>
      </c>
      <c r="B5" s="20" t="s">
        <v>5</v>
      </c>
      <c r="C5" s="21" t="str">
        <f>IF(B5=$J$7,$K$7,IF(B5=$J$8,$K$8,IF(B5=$J$9,$K$9,IF(B5=$J$10,$K$10,IF(B5=$J$11,$K$11,IF(B5=$J$14,$K$14,IF(B5=$J$12,$K$12,"")))))))</f>
        <v>0000</v>
      </c>
      <c r="D5" s="2">
        <v>0</v>
      </c>
      <c r="E5" s="2" t="str">
        <f t="shared" ref="E5:E17" si="0">CONCATENATE(C5, TEXT(DEC2BIN(D5),"0000"))</f>
        <v>00000000</v>
      </c>
      <c r="F5">
        <f>BIN2DEC(E5)</f>
        <v>0</v>
      </c>
      <c r="G5" s="3" t="s">
        <v>36</v>
      </c>
      <c r="I5" s="25" t="s">
        <v>9</v>
      </c>
      <c r="J5" s="26"/>
      <c r="K5" s="25" t="s">
        <v>10</v>
      </c>
      <c r="L5" s="27"/>
    </row>
    <row r="6" spans="1:14" x14ac:dyDescent="0.25">
      <c r="A6" s="2">
        <f>A5+1</f>
        <v>1</v>
      </c>
      <c r="B6" s="20" t="s">
        <v>6</v>
      </c>
      <c r="C6" s="21" t="str">
        <f t="shared" ref="C6:C11" si="1">IF(B6=$J$7,$K$7,IF(B6=$J$8,$K$8,IF(B6=$J$9,$K$9,IF(B6=$J$10,$K$10,IF(B6=$J$11,$K$11,IF(B6=$J$14,$K$14,IF(B6=$J$12,$K$12,"")))))))</f>
        <v>0010</v>
      </c>
      <c r="D6" s="2">
        <v>4</v>
      </c>
      <c r="E6" s="2" t="str">
        <f t="shared" si="0"/>
        <v>00100100</v>
      </c>
      <c r="F6">
        <f t="shared" ref="F6:F23" si="2">BIN2DEC(E6)</f>
        <v>36</v>
      </c>
      <c r="I6" s="4" t="s">
        <v>11</v>
      </c>
      <c r="J6" s="5" t="s">
        <v>12</v>
      </c>
      <c r="K6" s="6" t="s">
        <v>1</v>
      </c>
      <c r="L6" s="7" t="s">
        <v>13</v>
      </c>
    </row>
    <row r="7" spans="1:14" x14ac:dyDescent="0.25">
      <c r="A7" s="2">
        <f t="shared" ref="A7:A55" si="3">A6+1</f>
        <v>2</v>
      </c>
      <c r="B7" s="20" t="s">
        <v>7</v>
      </c>
      <c r="C7" s="21" t="str">
        <f t="shared" si="1"/>
        <v>0011</v>
      </c>
      <c r="D7" s="2">
        <v>0</v>
      </c>
      <c r="E7" s="2" t="str">
        <f t="shared" si="0"/>
        <v>00110000</v>
      </c>
      <c r="F7">
        <f t="shared" si="2"/>
        <v>48</v>
      </c>
      <c r="I7" s="8" t="s">
        <v>14</v>
      </c>
      <c r="J7" s="9" t="s">
        <v>5</v>
      </c>
      <c r="K7" s="10" t="s">
        <v>15</v>
      </c>
      <c r="L7" s="11" t="s">
        <v>16</v>
      </c>
      <c r="N7" t="s">
        <v>32</v>
      </c>
    </row>
    <row r="8" spans="1:14" x14ac:dyDescent="0.25">
      <c r="A8" s="2">
        <f t="shared" si="3"/>
        <v>3</v>
      </c>
      <c r="B8" s="20" t="s">
        <v>25</v>
      </c>
      <c r="C8" s="21" t="str">
        <f t="shared" si="1"/>
        <v>0100</v>
      </c>
      <c r="D8" s="2">
        <v>0</v>
      </c>
      <c r="E8" s="2" t="str">
        <f t="shared" si="0"/>
        <v>01000000</v>
      </c>
      <c r="F8">
        <f t="shared" si="2"/>
        <v>64</v>
      </c>
      <c r="I8" s="8" t="s">
        <v>20</v>
      </c>
      <c r="J8" s="9" t="s">
        <v>8</v>
      </c>
      <c r="K8" s="10" t="s">
        <v>18</v>
      </c>
      <c r="L8" s="12" t="s">
        <v>19</v>
      </c>
    </row>
    <row r="9" spans="1:14" x14ac:dyDescent="0.25">
      <c r="A9" s="2">
        <f t="shared" si="3"/>
        <v>4</v>
      </c>
      <c r="B9" s="20" t="s">
        <v>6</v>
      </c>
      <c r="C9" s="21" t="str">
        <f t="shared" si="1"/>
        <v>0010</v>
      </c>
      <c r="D9" s="2">
        <v>3</v>
      </c>
      <c r="E9" s="2" t="str">
        <f t="shared" si="0"/>
        <v>00100011</v>
      </c>
      <c r="F9">
        <f t="shared" si="2"/>
        <v>35</v>
      </c>
      <c r="I9" s="8" t="s">
        <v>17</v>
      </c>
      <c r="J9" s="9" t="s">
        <v>6</v>
      </c>
      <c r="K9" s="10" t="s">
        <v>21</v>
      </c>
      <c r="L9" s="12" t="s">
        <v>19</v>
      </c>
    </row>
    <row r="10" spans="1:14" x14ac:dyDescent="0.25">
      <c r="A10" s="2">
        <f t="shared" si="3"/>
        <v>5</v>
      </c>
      <c r="B10" s="20" t="s">
        <v>8</v>
      </c>
      <c r="C10" s="21" t="str">
        <f>IF(B10=$J$7,$K$7,IF(B10=$J$8,$K$8,IF(B10=$J$9,$K$9,IF(B10=$J$10,$K$10,IF(B10=$J$11,$K$11,IF(B10=$J$14,$K$14,IF(B10=$J$12,$K$12,"")))))))</f>
        <v>0001</v>
      </c>
      <c r="D10" s="2">
        <v>1</v>
      </c>
      <c r="E10" s="2" t="str">
        <f>CONCATENATE(C10, TEXT(DEC2BIN(D10),"0000"))</f>
        <v>00010001</v>
      </c>
      <c r="F10">
        <f t="shared" si="2"/>
        <v>17</v>
      </c>
      <c r="I10" s="13" t="s">
        <v>22</v>
      </c>
      <c r="J10" s="14" t="s">
        <v>7</v>
      </c>
      <c r="K10" s="10" t="s">
        <v>23</v>
      </c>
      <c r="L10" s="11" t="s">
        <v>16</v>
      </c>
    </row>
    <row r="11" spans="1:14" x14ac:dyDescent="0.25">
      <c r="A11" s="2">
        <f t="shared" si="3"/>
        <v>6</v>
      </c>
      <c r="B11" s="20"/>
      <c r="C11" s="21" t="str">
        <f t="shared" si="1"/>
        <v/>
      </c>
      <c r="D11" s="2">
        <v>0</v>
      </c>
      <c r="E11" s="2" t="str">
        <f t="shared" si="0"/>
        <v>0000</v>
      </c>
      <c r="F11">
        <f t="shared" si="2"/>
        <v>0</v>
      </c>
      <c r="I11" s="8" t="s">
        <v>24</v>
      </c>
      <c r="J11" s="9" t="s">
        <v>25</v>
      </c>
      <c r="K11" s="10" t="s">
        <v>26</v>
      </c>
      <c r="L11" s="11" t="s">
        <v>16</v>
      </c>
    </row>
    <row r="12" spans="1:14" x14ac:dyDescent="0.25">
      <c r="A12" s="2">
        <f t="shared" si="3"/>
        <v>7</v>
      </c>
      <c r="B12" s="20"/>
      <c r="C12" s="21" t="str">
        <f>IF(B12=$J$7,$K$7,IF(B12=$J$8,$K$8,IF(B12=$J$9,$K$9,IF(B12=$J$10,$K$10,IF(B12=$J$11,$K$11,IF(B12=$J$14,$K$14,IF(B12=$J$12,$K$12,"")))))))</f>
        <v/>
      </c>
      <c r="D12" s="2">
        <v>0</v>
      </c>
      <c r="E12" s="2" t="str">
        <f t="shared" si="0"/>
        <v>0000</v>
      </c>
      <c r="F12">
        <f t="shared" si="2"/>
        <v>0</v>
      </c>
      <c r="I12" s="8" t="s">
        <v>33</v>
      </c>
      <c r="J12" s="9" t="s">
        <v>34</v>
      </c>
      <c r="K12" s="10" t="s">
        <v>35</v>
      </c>
      <c r="L12" s="11" t="s">
        <v>16</v>
      </c>
    </row>
    <row r="13" spans="1:14" x14ac:dyDescent="0.25">
      <c r="A13" s="2">
        <f t="shared" si="3"/>
        <v>8</v>
      </c>
      <c r="B13" s="20"/>
      <c r="C13" s="21" t="str">
        <f t="shared" ref="C13:C55" si="4">IF(B13=$J$7,$K$7,IF(B13=$J$8,$K$8,IF(B13=$J$9,$K$9,IF(B13=$J$10,$K$10,IF(B13=$J$11,$K$11,IF(B13=$J$14,$K$14,IF(B13=$J$12,$K$12,"")))))))</f>
        <v/>
      </c>
      <c r="D13" s="2">
        <v>1</v>
      </c>
      <c r="E13" s="2" t="str">
        <f t="shared" si="0"/>
        <v>0001</v>
      </c>
      <c r="F13">
        <f t="shared" si="2"/>
        <v>1</v>
      </c>
      <c r="I13" s="8"/>
      <c r="J13" s="9"/>
      <c r="K13" s="14"/>
      <c r="L13" s="12"/>
    </row>
    <row r="14" spans="1:14" ht="15.75" thickBot="1" x14ac:dyDescent="0.3">
      <c r="A14" s="2">
        <f t="shared" si="3"/>
        <v>9</v>
      </c>
      <c r="B14" s="20"/>
      <c r="C14" s="21" t="str">
        <f t="shared" si="4"/>
        <v/>
      </c>
      <c r="D14" s="2">
        <v>0</v>
      </c>
      <c r="E14" s="2" t="str">
        <f t="shared" si="0"/>
        <v>0000</v>
      </c>
      <c r="F14">
        <f t="shared" si="2"/>
        <v>0</v>
      </c>
      <c r="I14" s="15" t="s">
        <v>27</v>
      </c>
      <c r="J14" s="16" t="s">
        <v>28</v>
      </c>
      <c r="K14" s="22" t="s">
        <v>31</v>
      </c>
      <c r="L14" s="17" t="s">
        <v>16</v>
      </c>
    </row>
    <row r="15" spans="1:14" x14ac:dyDescent="0.25">
      <c r="A15" s="2">
        <f t="shared" si="3"/>
        <v>10</v>
      </c>
      <c r="B15" s="20" t="s">
        <v>28</v>
      </c>
      <c r="C15" s="21" t="str">
        <f t="shared" si="4"/>
        <v>1111</v>
      </c>
      <c r="D15" s="2">
        <v>0</v>
      </c>
      <c r="E15" s="2" t="str">
        <f t="shared" si="0"/>
        <v>11110000</v>
      </c>
      <c r="F15">
        <f t="shared" si="2"/>
        <v>240</v>
      </c>
    </row>
    <row r="16" spans="1:14" x14ac:dyDescent="0.25">
      <c r="A16" s="2">
        <f t="shared" si="3"/>
        <v>11</v>
      </c>
      <c r="B16" s="20"/>
      <c r="C16" s="21" t="str">
        <f t="shared" si="4"/>
        <v/>
      </c>
      <c r="D16" s="2">
        <v>0</v>
      </c>
      <c r="E16" s="2" t="str">
        <f t="shared" si="0"/>
        <v>0000</v>
      </c>
      <c r="F16">
        <f t="shared" si="2"/>
        <v>0</v>
      </c>
    </row>
    <row r="17" spans="1:12" x14ac:dyDescent="0.25">
      <c r="A17" s="2">
        <f t="shared" si="3"/>
        <v>12</v>
      </c>
      <c r="B17" s="20"/>
      <c r="C17" s="21" t="str">
        <f t="shared" si="4"/>
        <v/>
      </c>
      <c r="D17" s="2">
        <v>0</v>
      </c>
      <c r="E17" s="2" t="str">
        <f t="shared" si="0"/>
        <v>0000</v>
      </c>
      <c r="F17">
        <f t="shared" si="2"/>
        <v>0</v>
      </c>
    </row>
    <row r="18" spans="1:12" x14ac:dyDescent="0.25">
      <c r="A18" s="2">
        <f t="shared" si="3"/>
        <v>13</v>
      </c>
      <c r="B18" s="20"/>
      <c r="C18" s="21" t="str">
        <f t="shared" si="4"/>
        <v/>
      </c>
      <c r="D18" s="2">
        <v>0</v>
      </c>
      <c r="E18" s="2" t="str">
        <f t="shared" ref="E18" si="5">CONCATENATE(C18, TEXT(DEC2BIN(D18),"0000"))</f>
        <v>0000</v>
      </c>
      <c r="F18">
        <f t="shared" si="2"/>
        <v>0</v>
      </c>
    </row>
    <row r="19" spans="1:12" x14ac:dyDescent="0.25">
      <c r="A19" s="2">
        <f t="shared" si="3"/>
        <v>14</v>
      </c>
      <c r="B19" s="20"/>
      <c r="C19" s="21" t="str">
        <f t="shared" si="4"/>
        <v/>
      </c>
      <c r="D19" s="2">
        <v>0</v>
      </c>
      <c r="E19" s="2" t="str">
        <f t="shared" ref="E19:E24" si="6">CONCATENATE(C19, TEXT(DEC2BIN(D19),"0000"))</f>
        <v>0000</v>
      </c>
      <c r="F19">
        <f t="shared" si="2"/>
        <v>0</v>
      </c>
      <c r="L19" t="s">
        <v>39</v>
      </c>
    </row>
    <row r="20" spans="1:12" x14ac:dyDescent="0.25">
      <c r="A20" s="2">
        <f t="shared" si="3"/>
        <v>15</v>
      </c>
      <c r="B20" s="20"/>
      <c r="C20" s="21" t="str">
        <f t="shared" si="4"/>
        <v/>
      </c>
      <c r="D20" s="2">
        <v>0</v>
      </c>
      <c r="E20" s="2" t="str">
        <f t="shared" si="6"/>
        <v>0000</v>
      </c>
      <c r="F20">
        <f t="shared" si="2"/>
        <v>0</v>
      </c>
    </row>
    <row r="21" spans="1:12" x14ac:dyDescent="0.25">
      <c r="A21" s="2">
        <f t="shared" si="3"/>
        <v>16</v>
      </c>
      <c r="B21" s="20"/>
      <c r="C21" s="21" t="str">
        <f t="shared" si="4"/>
        <v/>
      </c>
      <c r="D21" s="2">
        <v>0</v>
      </c>
      <c r="E21" s="2" t="str">
        <f t="shared" si="6"/>
        <v>0000</v>
      </c>
      <c r="F21">
        <f t="shared" si="2"/>
        <v>0</v>
      </c>
    </row>
    <row r="22" spans="1:12" x14ac:dyDescent="0.25">
      <c r="A22" s="2">
        <f t="shared" si="3"/>
        <v>17</v>
      </c>
      <c r="B22" s="20"/>
      <c r="C22" s="21" t="str">
        <f t="shared" si="4"/>
        <v/>
      </c>
      <c r="D22" s="2">
        <v>0</v>
      </c>
      <c r="E22" s="2" t="str">
        <f t="shared" si="6"/>
        <v>0000</v>
      </c>
      <c r="F22">
        <f t="shared" si="2"/>
        <v>0</v>
      </c>
    </row>
    <row r="23" spans="1:12" x14ac:dyDescent="0.25">
      <c r="A23" s="2">
        <f t="shared" si="3"/>
        <v>18</v>
      </c>
      <c r="B23" s="20"/>
      <c r="C23" s="21" t="str">
        <f t="shared" si="4"/>
        <v/>
      </c>
      <c r="D23" s="2">
        <v>0</v>
      </c>
      <c r="E23" s="2" t="str">
        <f t="shared" si="6"/>
        <v>0000</v>
      </c>
      <c r="F23">
        <f t="shared" si="2"/>
        <v>0</v>
      </c>
    </row>
    <row r="24" spans="1:12" x14ac:dyDescent="0.25">
      <c r="A24" s="2">
        <f t="shared" si="3"/>
        <v>19</v>
      </c>
      <c r="B24" s="20"/>
      <c r="C24" s="21" t="str">
        <f t="shared" si="4"/>
        <v/>
      </c>
      <c r="D24" s="2">
        <v>0</v>
      </c>
      <c r="E24" s="2" t="str">
        <f t="shared" si="6"/>
        <v>0000</v>
      </c>
      <c r="F24">
        <f>BIN2DEC(E24)</f>
        <v>0</v>
      </c>
    </row>
    <row r="25" spans="1:12" x14ac:dyDescent="0.25">
      <c r="A25" s="2">
        <f t="shared" si="3"/>
        <v>20</v>
      </c>
      <c r="B25" s="20"/>
      <c r="C25" s="21" t="str">
        <f t="shared" si="4"/>
        <v/>
      </c>
      <c r="D25" s="2">
        <v>0</v>
      </c>
      <c r="E25" s="2" t="str">
        <f t="shared" ref="E25:E35" si="7">CONCATENATE(C25, TEXT(DEC2BIN(D25),"0000"))</f>
        <v>0000</v>
      </c>
      <c r="F25">
        <f t="shared" ref="F25:F29" si="8">BIN2DEC(E25)</f>
        <v>0</v>
      </c>
    </row>
    <row r="26" spans="1:12" x14ac:dyDescent="0.25">
      <c r="A26" s="2">
        <f t="shared" si="3"/>
        <v>21</v>
      </c>
      <c r="B26" s="20"/>
      <c r="C26" s="21" t="str">
        <f t="shared" si="4"/>
        <v/>
      </c>
      <c r="D26" s="2"/>
      <c r="E26" s="2" t="str">
        <f t="shared" si="7"/>
        <v>0000</v>
      </c>
      <c r="F26">
        <f t="shared" si="8"/>
        <v>0</v>
      </c>
    </row>
    <row r="27" spans="1:12" x14ac:dyDescent="0.25">
      <c r="A27" s="2">
        <f t="shared" si="3"/>
        <v>22</v>
      </c>
      <c r="B27" s="20"/>
      <c r="C27" s="21" t="str">
        <f t="shared" si="4"/>
        <v/>
      </c>
      <c r="D27" s="2"/>
      <c r="E27" s="2" t="str">
        <f t="shared" si="7"/>
        <v>0000</v>
      </c>
      <c r="F27">
        <f t="shared" si="8"/>
        <v>0</v>
      </c>
    </row>
    <row r="28" spans="1:12" x14ac:dyDescent="0.25">
      <c r="A28" s="2">
        <f t="shared" si="3"/>
        <v>23</v>
      </c>
      <c r="B28" s="20"/>
      <c r="C28" s="21" t="str">
        <f t="shared" si="4"/>
        <v/>
      </c>
      <c r="D28" s="2"/>
      <c r="E28" s="2" t="str">
        <f t="shared" si="7"/>
        <v>0000</v>
      </c>
      <c r="F28">
        <f t="shared" si="8"/>
        <v>0</v>
      </c>
    </row>
    <row r="29" spans="1:12" x14ac:dyDescent="0.25">
      <c r="A29" s="2">
        <f t="shared" si="3"/>
        <v>24</v>
      </c>
      <c r="B29" s="20"/>
      <c r="C29" s="21" t="str">
        <f t="shared" si="4"/>
        <v/>
      </c>
      <c r="D29" s="2"/>
      <c r="E29" s="2" t="str">
        <f t="shared" si="7"/>
        <v>0000</v>
      </c>
      <c r="F29">
        <f t="shared" si="8"/>
        <v>0</v>
      </c>
    </row>
    <row r="30" spans="1:12" x14ac:dyDescent="0.25">
      <c r="A30" s="2">
        <f t="shared" si="3"/>
        <v>25</v>
      </c>
      <c r="B30" s="20"/>
      <c r="C30" s="21" t="str">
        <f t="shared" si="4"/>
        <v/>
      </c>
      <c r="D30" s="2"/>
      <c r="E30" s="2" t="str">
        <f t="shared" si="7"/>
        <v>0000</v>
      </c>
    </row>
    <row r="31" spans="1:12" x14ac:dyDescent="0.25">
      <c r="A31" s="2">
        <f t="shared" si="3"/>
        <v>26</v>
      </c>
      <c r="B31" s="20"/>
      <c r="C31" s="21" t="str">
        <f t="shared" si="4"/>
        <v/>
      </c>
      <c r="D31" s="2"/>
      <c r="E31" s="2" t="str">
        <f t="shared" si="7"/>
        <v>0000</v>
      </c>
    </row>
    <row r="32" spans="1:12" x14ac:dyDescent="0.25">
      <c r="A32" s="2">
        <f t="shared" si="3"/>
        <v>27</v>
      </c>
      <c r="B32" s="20"/>
      <c r="C32" s="21" t="str">
        <f t="shared" si="4"/>
        <v/>
      </c>
      <c r="D32" s="2"/>
      <c r="E32" s="2" t="str">
        <f t="shared" si="7"/>
        <v>0000</v>
      </c>
    </row>
    <row r="33" spans="1:5" x14ac:dyDescent="0.25">
      <c r="A33" s="2">
        <f t="shared" si="3"/>
        <v>28</v>
      </c>
      <c r="B33" s="20"/>
      <c r="C33" s="21" t="str">
        <f t="shared" si="4"/>
        <v/>
      </c>
      <c r="D33" s="2"/>
      <c r="E33" s="2" t="str">
        <f t="shared" si="7"/>
        <v>0000</v>
      </c>
    </row>
    <row r="34" spans="1:5" x14ac:dyDescent="0.25">
      <c r="A34" s="2">
        <f t="shared" si="3"/>
        <v>29</v>
      </c>
      <c r="B34" s="20"/>
      <c r="C34" s="21" t="str">
        <f t="shared" si="4"/>
        <v/>
      </c>
      <c r="D34" s="2"/>
      <c r="E34" s="2" t="str">
        <f t="shared" si="7"/>
        <v>0000</v>
      </c>
    </row>
    <row r="35" spans="1:5" x14ac:dyDescent="0.25">
      <c r="A35" s="2">
        <f t="shared" si="3"/>
        <v>30</v>
      </c>
      <c r="B35" s="20"/>
      <c r="C35" s="21" t="str">
        <f t="shared" si="4"/>
        <v/>
      </c>
      <c r="D35" s="2"/>
      <c r="E35" s="2" t="str">
        <f t="shared" si="7"/>
        <v>0000</v>
      </c>
    </row>
    <row r="36" spans="1:5" x14ac:dyDescent="0.25">
      <c r="A36" s="2">
        <f t="shared" si="3"/>
        <v>31</v>
      </c>
      <c r="B36" s="20"/>
      <c r="C36" s="21" t="str">
        <f t="shared" si="4"/>
        <v/>
      </c>
      <c r="D36" s="2"/>
      <c r="E36" s="2" t="str">
        <f t="shared" ref="E36:E53" si="9">CONCATENATE(C36, TEXT(DEC2BIN(D36),"0000"))</f>
        <v>0000</v>
      </c>
    </row>
    <row r="37" spans="1:5" x14ac:dyDescent="0.25">
      <c r="A37" s="2">
        <f t="shared" si="3"/>
        <v>32</v>
      </c>
      <c r="B37" s="20"/>
      <c r="C37" s="21" t="str">
        <f t="shared" si="4"/>
        <v/>
      </c>
      <c r="D37" s="2"/>
      <c r="E37" s="2" t="str">
        <f t="shared" si="9"/>
        <v>0000</v>
      </c>
    </row>
    <row r="38" spans="1:5" x14ac:dyDescent="0.25">
      <c r="A38" s="2">
        <f t="shared" si="3"/>
        <v>33</v>
      </c>
      <c r="B38" s="20"/>
      <c r="C38" s="21" t="str">
        <f t="shared" si="4"/>
        <v/>
      </c>
      <c r="D38" s="2"/>
      <c r="E38" s="2" t="str">
        <f t="shared" si="9"/>
        <v>0000</v>
      </c>
    </row>
    <row r="39" spans="1:5" x14ac:dyDescent="0.25">
      <c r="A39" s="2">
        <f t="shared" si="3"/>
        <v>34</v>
      </c>
      <c r="B39" s="20"/>
      <c r="C39" s="21" t="str">
        <f t="shared" si="4"/>
        <v/>
      </c>
      <c r="D39" s="2"/>
      <c r="E39" s="2" t="str">
        <f t="shared" si="9"/>
        <v>0000</v>
      </c>
    </row>
    <row r="40" spans="1:5" x14ac:dyDescent="0.25">
      <c r="A40" s="2">
        <f t="shared" si="3"/>
        <v>35</v>
      </c>
      <c r="B40" s="20"/>
      <c r="C40" s="21" t="str">
        <f t="shared" si="4"/>
        <v/>
      </c>
      <c r="D40" s="2"/>
      <c r="E40" s="2" t="str">
        <f t="shared" si="9"/>
        <v>0000</v>
      </c>
    </row>
    <row r="41" spans="1:5" x14ac:dyDescent="0.25">
      <c r="A41" s="2">
        <f t="shared" si="3"/>
        <v>36</v>
      </c>
      <c r="B41" s="20"/>
      <c r="C41" s="21" t="str">
        <f t="shared" si="4"/>
        <v/>
      </c>
      <c r="D41" s="2"/>
      <c r="E41" s="2" t="str">
        <f t="shared" si="9"/>
        <v>0000</v>
      </c>
    </row>
    <row r="42" spans="1:5" x14ac:dyDescent="0.25">
      <c r="A42" s="2">
        <f t="shared" si="3"/>
        <v>37</v>
      </c>
      <c r="B42" s="20"/>
      <c r="C42" s="21" t="str">
        <f t="shared" si="4"/>
        <v/>
      </c>
      <c r="D42" s="2"/>
      <c r="E42" s="2" t="str">
        <f t="shared" si="9"/>
        <v>0000</v>
      </c>
    </row>
    <row r="43" spans="1:5" x14ac:dyDescent="0.25">
      <c r="A43" s="2">
        <f t="shared" si="3"/>
        <v>38</v>
      </c>
      <c r="B43" s="20"/>
      <c r="C43" s="21" t="str">
        <f t="shared" si="4"/>
        <v/>
      </c>
      <c r="D43" s="2"/>
      <c r="E43" s="2" t="str">
        <f t="shared" si="9"/>
        <v>0000</v>
      </c>
    </row>
    <row r="44" spans="1:5" x14ac:dyDescent="0.25">
      <c r="A44" s="2">
        <f t="shared" si="3"/>
        <v>39</v>
      </c>
      <c r="B44" s="20"/>
      <c r="C44" s="21" t="str">
        <f>IF(B44=$J$7,$K$7,IF(B44=$J$8,$K$8,IF(B44=$J$9,$K$9,IF(B44=$J$10,$K$10,IF(B44=$J$11,$K$11,IF(B44=$J$14,$K$14,IF(B44=$J$12,$K$12,"")))))))</f>
        <v/>
      </c>
      <c r="D44" s="2"/>
      <c r="E44" s="2" t="str">
        <f t="shared" si="9"/>
        <v>0000</v>
      </c>
    </row>
    <row r="45" spans="1:5" x14ac:dyDescent="0.25">
      <c r="A45" s="2">
        <f t="shared" si="3"/>
        <v>40</v>
      </c>
      <c r="B45" s="20"/>
      <c r="C45" s="21" t="str">
        <f t="shared" si="4"/>
        <v/>
      </c>
      <c r="D45" s="2"/>
      <c r="E45" s="2" t="str">
        <f t="shared" si="9"/>
        <v>0000</v>
      </c>
    </row>
    <row r="46" spans="1:5" x14ac:dyDescent="0.25">
      <c r="A46" s="2">
        <f t="shared" si="3"/>
        <v>41</v>
      </c>
      <c r="B46" s="20"/>
      <c r="C46" s="21" t="str">
        <f t="shared" si="4"/>
        <v/>
      </c>
      <c r="D46" s="2"/>
      <c r="E46" s="2" t="str">
        <f t="shared" si="9"/>
        <v>0000</v>
      </c>
    </row>
    <row r="47" spans="1:5" x14ac:dyDescent="0.25">
      <c r="A47" s="2">
        <f t="shared" si="3"/>
        <v>42</v>
      </c>
      <c r="B47" s="20"/>
      <c r="C47" s="21" t="str">
        <f t="shared" si="4"/>
        <v/>
      </c>
      <c r="D47" s="2"/>
      <c r="E47" s="2" t="str">
        <f t="shared" si="9"/>
        <v>0000</v>
      </c>
    </row>
    <row r="48" spans="1:5" x14ac:dyDescent="0.25">
      <c r="A48" s="2">
        <f t="shared" si="3"/>
        <v>43</v>
      </c>
      <c r="B48" s="20"/>
      <c r="C48" s="21" t="str">
        <f t="shared" si="4"/>
        <v/>
      </c>
      <c r="D48" s="2"/>
      <c r="E48" s="2" t="str">
        <f t="shared" si="9"/>
        <v>0000</v>
      </c>
    </row>
    <row r="49" spans="1:5" x14ac:dyDescent="0.25">
      <c r="A49" s="2">
        <f t="shared" si="3"/>
        <v>44</v>
      </c>
      <c r="B49" s="20"/>
      <c r="C49" s="21" t="str">
        <f t="shared" si="4"/>
        <v/>
      </c>
      <c r="D49" s="2"/>
      <c r="E49" s="2" t="str">
        <f t="shared" si="9"/>
        <v>0000</v>
      </c>
    </row>
    <row r="50" spans="1:5" x14ac:dyDescent="0.25">
      <c r="A50" s="2">
        <f t="shared" si="3"/>
        <v>45</v>
      </c>
      <c r="B50" s="20"/>
      <c r="C50" s="21" t="str">
        <f t="shared" si="4"/>
        <v/>
      </c>
      <c r="D50" s="2"/>
      <c r="E50" s="2" t="str">
        <f t="shared" si="9"/>
        <v>0000</v>
      </c>
    </row>
    <row r="51" spans="1:5" x14ac:dyDescent="0.25">
      <c r="A51" s="2">
        <f t="shared" si="3"/>
        <v>46</v>
      </c>
      <c r="B51" s="20"/>
      <c r="C51" s="21" t="str">
        <f t="shared" si="4"/>
        <v/>
      </c>
      <c r="D51" s="2"/>
      <c r="E51" s="2" t="str">
        <f t="shared" si="9"/>
        <v>0000</v>
      </c>
    </row>
    <row r="52" spans="1:5" x14ac:dyDescent="0.25">
      <c r="A52" s="2">
        <f t="shared" si="3"/>
        <v>47</v>
      </c>
      <c r="B52" s="20"/>
      <c r="C52" s="21" t="str">
        <f t="shared" si="4"/>
        <v/>
      </c>
      <c r="D52" s="2"/>
      <c r="E52" s="2" t="str">
        <f t="shared" si="9"/>
        <v>0000</v>
      </c>
    </row>
    <row r="53" spans="1:5" x14ac:dyDescent="0.25">
      <c r="A53" s="2">
        <f t="shared" si="3"/>
        <v>48</v>
      </c>
      <c r="B53" s="20"/>
      <c r="C53" s="21" t="str">
        <f t="shared" si="4"/>
        <v/>
      </c>
      <c r="D53" s="2"/>
      <c r="E53" s="2" t="str">
        <f t="shared" si="9"/>
        <v>0000</v>
      </c>
    </row>
    <row r="54" spans="1:5" x14ac:dyDescent="0.25">
      <c r="A54" s="2">
        <f t="shared" si="3"/>
        <v>49</v>
      </c>
      <c r="B54" s="20"/>
      <c r="C54" s="21" t="str">
        <f t="shared" si="4"/>
        <v/>
      </c>
      <c r="D54" s="2"/>
      <c r="E54" s="2" t="str">
        <f t="shared" ref="E54:E55" si="10">CONCATENATE(C54, TEXT(DEC2BIN(D54),"0000"))</f>
        <v>0000</v>
      </c>
    </row>
    <row r="55" spans="1:5" x14ac:dyDescent="0.25">
      <c r="A55" s="2">
        <f t="shared" si="3"/>
        <v>50</v>
      </c>
      <c r="B55" s="20"/>
      <c r="C55" s="21" t="str">
        <f t="shared" si="4"/>
        <v/>
      </c>
      <c r="D55" s="2"/>
      <c r="E55" s="2" t="str">
        <f t="shared" si="10"/>
        <v>0000</v>
      </c>
    </row>
  </sheetData>
  <dataConsolidate/>
  <mergeCells count="3">
    <mergeCell ref="I5:J5"/>
    <mergeCell ref="K5:L5"/>
    <mergeCell ref="A1:G2"/>
  </mergeCells>
  <dataValidations count="1">
    <dataValidation type="list" allowBlank="1" showInputMessage="1" showErrorMessage="1" sqref="B5:B55" xr:uid="{E3C53EE3-22CE-420F-806C-0D715C8A98AD}">
      <formula1>$J$7:$J$14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34" r:id="rId3" name="btnGuardar">
          <controlPr defaultSize="0" autoLine="0" r:id="rId4">
            <anchor moveWithCells="1">
              <from>
                <xdr:col>6</xdr:col>
                <xdr:colOff>47625</xdr:colOff>
                <xdr:row>5</xdr:row>
                <xdr:rowOff>104775</xdr:rowOff>
              </from>
              <to>
                <xdr:col>7</xdr:col>
                <xdr:colOff>66675</xdr:colOff>
                <xdr:row>8</xdr:row>
                <xdr:rowOff>85725</xdr:rowOff>
              </to>
            </anchor>
          </controlPr>
        </control>
      </mc:Choice>
      <mc:Fallback>
        <control shapeId="1034" r:id="rId3" name="btnGuarda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C6A70-C1AE-4DE2-81CA-C6401258E7F7}">
  <sheetPr codeName="Hoja2"/>
  <dimension ref="G2:J12"/>
  <sheetViews>
    <sheetView workbookViewId="0">
      <selection activeCell="L3" sqref="L3"/>
    </sheetView>
  </sheetViews>
  <sheetFormatPr baseColWidth="10" defaultRowHeight="15" x14ac:dyDescent="0.25"/>
  <sheetData>
    <row r="2" spans="7:10" ht="15.75" thickBot="1" x14ac:dyDescent="0.3"/>
    <row r="3" spans="7:10" ht="15.75" thickBot="1" x14ac:dyDescent="0.3">
      <c r="G3" s="25" t="s">
        <v>9</v>
      </c>
      <c r="H3" s="26"/>
      <c r="I3" s="25" t="s">
        <v>10</v>
      </c>
      <c r="J3" s="27"/>
    </row>
    <row r="4" spans="7:10" x14ac:dyDescent="0.25">
      <c r="G4" s="4" t="s">
        <v>11</v>
      </c>
      <c r="H4" s="5" t="s">
        <v>12</v>
      </c>
      <c r="I4" s="6" t="s">
        <v>1</v>
      </c>
      <c r="J4" s="7" t="s">
        <v>13</v>
      </c>
    </row>
    <row r="5" spans="7:10" x14ac:dyDescent="0.25">
      <c r="G5" s="8" t="s">
        <v>14</v>
      </c>
      <c r="H5" s="9" t="s">
        <v>5</v>
      </c>
      <c r="I5" s="10" t="s">
        <v>15</v>
      </c>
      <c r="J5" s="11" t="s">
        <v>16</v>
      </c>
    </row>
    <row r="6" spans="7:10" x14ac:dyDescent="0.25">
      <c r="G6" s="8" t="s">
        <v>20</v>
      </c>
      <c r="H6" s="9" t="s">
        <v>8</v>
      </c>
      <c r="I6" s="10" t="s">
        <v>18</v>
      </c>
      <c r="J6" s="12" t="s">
        <v>19</v>
      </c>
    </row>
    <row r="7" spans="7:10" x14ac:dyDescent="0.25">
      <c r="G7" s="8" t="s">
        <v>17</v>
      </c>
      <c r="H7" s="9" t="s">
        <v>6</v>
      </c>
      <c r="I7" s="10" t="s">
        <v>21</v>
      </c>
      <c r="J7" s="12" t="s">
        <v>19</v>
      </c>
    </row>
    <row r="8" spans="7:10" x14ac:dyDescent="0.25">
      <c r="G8" s="13" t="s">
        <v>22</v>
      </c>
      <c r="H8" s="14" t="s">
        <v>7</v>
      </c>
      <c r="I8" s="10" t="s">
        <v>23</v>
      </c>
      <c r="J8" s="11" t="s">
        <v>16</v>
      </c>
    </row>
    <row r="9" spans="7:10" x14ac:dyDescent="0.25">
      <c r="G9" s="8" t="s">
        <v>24</v>
      </c>
      <c r="H9" s="9" t="s">
        <v>25</v>
      </c>
      <c r="I9" s="10" t="s">
        <v>26</v>
      </c>
      <c r="J9" s="11" t="s">
        <v>16</v>
      </c>
    </row>
    <row r="10" spans="7:10" x14ac:dyDescent="0.25">
      <c r="G10" s="8" t="s">
        <v>33</v>
      </c>
      <c r="H10" s="9" t="s">
        <v>34</v>
      </c>
      <c r="I10" s="10" t="s">
        <v>35</v>
      </c>
      <c r="J10" s="11" t="s">
        <v>16</v>
      </c>
    </row>
    <row r="11" spans="7:10" x14ac:dyDescent="0.25">
      <c r="G11" s="8"/>
      <c r="H11" s="9"/>
      <c r="I11" s="14"/>
      <c r="J11" s="12"/>
    </row>
    <row r="12" spans="7:10" ht="15.75" thickBot="1" x14ac:dyDescent="0.3">
      <c r="G12" s="15" t="s">
        <v>27</v>
      </c>
      <c r="H12" s="16" t="s">
        <v>28</v>
      </c>
      <c r="I12" s="22" t="s">
        <v>31</v>
      </c>
      <c r="J12" s="17" t="s">
        <v>16</v>
      </c>
    </row>
  </sheetData>
  <mergeCells count="2">
    <mergeCell ref="G3:H3"/>
    <mergeCell ref="I3:J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Bremdows</dc:creator>
  <cp:lastModifiedBy>Davis Bremdows Salazar Roa</cp:lastModifiedBy>
  <dcterms:created xsi:type="dcterms:W3CDTF">2024-09-18T01:23:28Z</dcterms:created>
  <dcterms:modified xsi:type="dcterms:W3CDTF">2025-05-10T01:34:51Z</dcterms:modified>
</cp:coreProperties>
</file>